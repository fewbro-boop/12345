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F14" i="1" l="1"/>
  <c r="C15" i="1" s="1"/>
  <c r="B16" i="1" l="1"/>
  <c r="C16" i="1"/>
  <c r="B15" i="1"/>
  <c r="G14" i="1"/>
  <c r="H14" i="1" s="1"/>
  <c r="I14" i="1" s="1"/>
  <c r="D20" i="1" s="1"/>
  <c r="K7" i="1"/>
  <c r="N7" i="1" s="1"/>
  <c r="K8" i="1"/>
  <c r="K6" i="1"/>
  <c r="H6" i="1" s="1"/>
  <c r="H7" i="1"/>
  <c r="I2" i="1"/>
  <c r="J2" i="1"/>
  <c r="K2" i="1"/>
  <c r="L2" i="1"/>
  <c r="M2" i="1"/>
  <c r="J3" i="1"/>
  <c r="K3" i="1"/>
  <c r="L3" i="1"/>
  <c r="M3" i="1"/>
  <c r="M4" i="1"/>
  <c r="K9" i="1" s="1"/>
  <c r="J6" i="1"/>
  <c r="L6" i="1"/>
  <c r="I6" i="1" s="1"/>
  <c r="N6" i="1"/>
  <c r="D4" i="1"/>
  <c r="D5" i="1"/>
  <c r="D6" i="1"/>
  <c r="D7" i="1"/>
  <c r="D8" i="1"/>
  <c r="D9" i="1"/>
  <c r="D3" i="1"/>
  <c r="B4" i="1"/>
  <c r="B5" i="1"/>
  <c r="B6" i="1"/>
  <c r="B7" i="1"/>
  <c r="B8" i="1"/>
  <c r="B9" i="1"/>
  <c r="B3" i="1"/>
  <c r="J9" i="1" l="1"/>
  <c r="B18" i="1"/>
  <c r="D15" i="1"/>
  <c r="F22" i="1"/>
  <c r="F24" i="1" s="1"/>
  <c r="F26" i="1" s="1"/>
  <c r="F28" i="1" s="1"/>
  <c r="F30" i="1" s="1"/>
  <c r="F32" i="1" s="1"/>
  <c r="F34" i="1" s="1"/>
  <c r="F36" i="1" s="1"/>
  <c r="F38" i="1" s="1"/>
  <c r="F40" i="1" s="1"/>
  <c r="F42" i="1" s="1"/>
  <c r="F44" i="1" s="1"/>
  <c r="F46" i="1" s="1"/>
  <c r="F48" i="1" s="1"/>
  <c r="F50" i="1" s="1"/>
  <c r="F52" i="1" s="1"/>
  <c r="F54" i="1" s="1"/>
  <c r="H22" i="1"/>
  <c r="H30" i="1" s="1"/>
  <c r="H38" i="1" s="1"/>
  <c r="H46" i="1" s="1"/>
  <c r="H54" i="1" s="1"/>
  <c r="G22" i="1"/>
  <c r="G26" i="1" s="1"/>
  <c r="G30" i="1" s="1"/>
  <c r="G34" i="1" s="1"/>
  <c r="G38" i="1" s="1"/>
  <c r="G42" i="1" s="1"/>
  <c r="G46" i="1" s="1"/>
  <c r="G50" i="1" s="1"/>
  <c r="G54" i="1" s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B17" i="1"/>
  <c r="B20" i="1" s="1"/>
  <c r="M8" i="1"/>
  <c r="I4" i="1"/>
  <c r="G8" i="1"/>
  <c r="I8" i="1"/>
  <c r="L8" i="1"/>
  <c r="N8" i="1"/>
  <c r="I3" i="1"/>
  <c r="J8" i="1"/>
  <c r="H8" i="1"/>
  <c r="O8" i="1"/>
  <c r="G7" i="1"/>
  <c r="O7" i="1"/>
  <c r="L7" i="1"/>
  <c r="J7" i="1"/>
  <c r="M7" i="1"/>
  <c r="I7" i="1"/>
  <c r="M6" i="1"/>
  <c r="D16" i="1" l="1"/>
  <c r="E15" i="1" s="1"/>
  <c r="E16" i="1" s="1"/>
  <c r="D18" i="1" s="1"/>
  <c r="D17" i="1"/>
</calcChain>
</file>

<file path=xl/sharedStrings.xml><?xml version="1.0" encoding="utf-8"?>
<sst xmlns="http://schemas.openxmlformats.org/spreadsheetml/2006/main" count="47" uniqueCount="43">
  <si>
    <t>3angle top</t>
  </si>
  <si>
    <t>3angel bot</t>
  </si>
  <si>
    <t>H</t>
  </si>
  <si>
    <t>RANGE</t>
  </si>
  <si>
    <t>L</t>
  </si>
  <si>
    <t>C+RANGE</t>
  </si>
  <si>
    <t>C</t>
  </si>
  <si>
    <t>C-RANGE</t>
  </si>
  <si>
    <t>O</t>
  </si>
  <si>
    <t>X</t>
  </si>
  <si>
    <t>S4</t>
  </si>
  <si>
    <t>S3</t>
  </si>
  <si>
    <t>S2</t>
  </si>
  <si>
    <t>S1</t>
  </si>
  <si>
    <t>PP</t>
  </si>
  <si>
    <t>R1</t>
  </si>
  <si>
    <t>R2</t>
  </si>
  <si>
    <t>R3</t>
  </si>
  <si>
    <t>R4</t>
  </si>
  <si>
    <t>Class</t>
  </si>
  <si>
    <t>Woodie</t>
  </si>
  <si>
    <t>Camarilla</t>
  </si>
  <si>
    <t>DeMark</t>
  </si>
  <si>
    <t>Рассчет углов</t>
  </si>
  <si>
    <t>Уровни 4 знака</t>
  </si>
  <si>
    <t>Построение уровней</t>
  </si>
  <si>
    <t>Параметры прямоугольника</t>
  </si>
  <si>
    <t>Верхняя граница</t>
  </si>
  <si>
    <t>Нижняя граница</t>
  </si>
  <si>
    <t>Уровни</t>
  </si>
  <si>
    <t>Слабый</t>
  </si>
  <si>
    <t>Средний</t>
  </si>
  <si>
    <t>Сильный</t>
  </si>
  <si>
    <t>Очень сильный</t>
  </si>
  <si>
    <t>Ранж</t>
  </si>
  <si>
    <t>1/8</t>
  </si>
  <si>
    <t>1/4</t>
  </si>
  <si>
    <t>1/2</t>
  </si>
  <si>
    <t>1/1</t>
  </si>
  <si>
    <t>Розовые</t>
  </si>
  <si>
    <t>Оранжевые</t>
  </si>
  <si>
    <t>Желтые</t>
  </si>
  <si>
    <t>Красные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</si>
</sst>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5" borderId="1" xfId="0" applyFill="1" applyBorder="1"/>
    <xf numFmtId="0" fontId="0" fillId="7" borderId="2" xfId="0" applyFill="1" applyBorder="1"/>
    <xf numFmtId="0" fontId="0" fillId="8" borderId="3" xfId="0" applyFill="1" applyBorder="1"/>
    <xf numFmtId="0" fontId="0" fillId="5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10" borderId="7" xfId="0" applyFill="1" applyBorder="1"/>
    <xf numFmtId="0" fontId="0" fillId="2" borderId="7" xfId="0" applyFill="1" applyBorder="1"/>
    <xf numFmtId="0" fontId="0" fillId="11" borderId="7" xfId="0" applyFill="1" applyBorder="1"/>
    <xf numFmtId="166" fontId="0" fillId="10" borderId="8" xfId="0" applyNumberFormat="1" applyFill="1" applyBorder="1"/>
    <xf numFmtId="166" fontId="0" fillId="10" borderId="9" xfId="0" applyNumberFormat="1" applyFill="1" applyBorder="1"/>
    <xf numFmtId="166" fontId="0" fillId="2" borderId="7" xfId="0" applyNumberFormat="1" applyFill="1" applyBorder="1"/>
    <xf numFmtId="166" fontId="0" fillId="11" borderId="7" xfId="0" applyNumberFormat="1" applyFill="1" applyBorder="1"/>
    <xf numFmtId="166" fontId="0" fillId="10" borderId="7" xfId="0" applyNumberFormat="1" applyFill="1" applyBorder="1"/>
    <xf numFmtId="166" fontId="0" fillId="10" borderId="10" xfId="0" applyNumberFormat="1" applyFill="1" applyBorder="1"/>
    <xf numFmtId="166" fontId="0" fillId="10" borderId="11" xfId="0" applyNumberFormat="1" applyFill="1" applyBorder="1"/>
    <xf numFmtId="166" fontId="0" fillId="11" borderId="12" xfId="0" applyNumberFormat="1" applyFill="1" applyBorder="1"/>
    <xf numFmtId="0" fontId="0" fillId="11" borderId="13" xfId="0" applyFill="1" applyBorder="1"/>
    <xf numFmtId="166" fontId="0" fillId="11" borderId="13" xfId="0" applyNumberFormat="1" applyFill="1" applyBorder="1"/>
    <xf numFmtId="0" fontId="0" fillId="4" borderId="15" xfId="0" applyFill="1" applyBorder="1"/>
    <xf numFmtId="0" fontId="0" fillId="4" borderId="16" xfId="0" applyFill="1" applyBorder="1"/>
    <xf numFmtId="0" fontId="0" fillId="5" borderId="17" xfId="0" applyFill="1" applyBorder="1"/>
    <xf numFmtId="0" fontId="0" fillId="6" borderId="18" xfId="0" applyFill="1" applyBorder="1"/>
    <xf numFmtId="0" fontId="0" fillId="7" borderId="19" xfId="0" applyFill="1" applyBorder="1"/>
    <xf numFmtId="0" fontId="0" fillId="6" borderId="0" xfId="0" applyFill="1" applyBorder="1"/>
    <xf numFmtId="0" fontId="0" fillId="0" borderId="20" xfId="0" applyBorder="1"/>
    <xf numFmtId="0" fontId="0" fillId="8" borderId="19" xfId="0" applyFill="1" applyBorder="1"/>
    <xf numFmtId="0" fontId="0" fillId="0" borderId="21" xfId="0" applyBorder="1"/>
    <xf numFmtId="166" fontId="0" fillId="10" borderId="0" xfId="0" applyNumberFormat="1" applyFill="1" applyBorder="1"/>
    <xf numFmtId="0" fontId="0" fillId="0" borderId="22" xfId="0" applyBorder="1"/>
    <xf numFmtId="166" fontId="0" fillId="10" borderId="23" xfId="0" applyNumberFormat="1" applyFill="1" applyBorder="1"/>
    <xf numFmtId="166" fontId="0" fillId="11" borderId="24" xfId="0" applyNumberFormat="1" applyFill="1" applyBorder="1"/>
    <xf numFmtId="0" fontId="0" fillId="0" borderId="18" xfId="0" applyBorder="1"/>
    <xf numFmtId="0" fontId="0" fillId="0" borderId="0" xfId="0" applyBorder="1"/>
    <xf numFmtId="0" fontId="0" fillId="0" borderId="11" xfId="0" applyBorder="1"/>
    <xf numFmtId="0" fontId="1" fillId="3" borderId="18" xfId="0" applyFont="1" applyFill="1" applyBorder="1"/>
    <xf numFmtId="0" fontId="1" fillId="3" borderId="14" xfId="0" applyFont="1" applyFill="1" applyBorder="1"/>
    <xf numFmtId="165" fontId="0" fillId="0" borderId="21" xfId="0" applyNumberFormat="1" applyBorder="1"/>
    <xf numFmtId="164" fontId="0" fillId="0" borderId="0" xfId="0" applyNumberFormat="1" applyBorder="1"/>
    <xf numFmtId="164" fontId="0" fillId="0" borderId="20" xfId="0" applyNumberFormat="1" applyBorder="1"/>
    <xf numFmtId="165" fontId="0" fillId="2" borderId="21" xfId="0" applyNumberFormat="1" applyFill="1" applyBorder="1"/>
    <xf numFmtId="164" fontId="0" fillId="2" borderId="0" xfId="0" applyNumberFormat="1" applyFill="1" applyBorder="1"/>
    <xf numFmtId="0" fontId="0" fillId="2" borderId="0" xfId="0" applyFill="1" applyBorder="1"/>
    <xf numFmtId="164" fontId="0" fillId="2" borderId="20" xfId="0" applyNumberFormat="1" applyFill="1" applyBorder="1"/>
    <xf numFmtId="165" fontId="0" fillId="0" borderId="22" xfId="0" applyNumberFormat="1" applyBorder="1"/>
    <xf numFmtId="164" fontId="0" fillId="0" borderId="23" xfId="0" applyNumberFormat="1" applyBorder="1"/>
    <xf numFmtId="0" fontId="0" fillId="0" borderId="23" xfId="0" applyBorder="1"/>
    <xf numFmtId="164" fontId="0" fillId="0" borderId="24" xfId="0" applyNumberFormat="1" applyBorder="1"/>
    <xf numFmtId="166" fontId="0" fillId="0" borderId="0" xfId="0" applyNumberFormat="1"/>
    <xf numFmtId="165" fontId="0" fillId="0" borderId="0" xfId="0" applyNumberFormat="1" applyBorder="1"/>
    <xf numFmtId="165" fontId="0" fillId="2" borderId="0" xfId="0" applyNumberFormat="1" applyFill="1" applyBorder="1"/>
    <xf numFmtId="165" fontId="0" fillId="0" borderId="0" xfId="0" applyNumberFormat="1" applyFill="1" applyBorder="1"/>
    <xf numFmtId="4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9" fontId="0" fillId="0" borderId="0" xfId="0" applyNumberFormat="1"/>
    <xf numFmtId="10" fontId="0" fillId="13" borderId="0" xfId="0" applyNumberFormat="1" applyFill="1" applyBorder="1"/>
    <xf numFmtId="10" fontId="0" fillId="14" borderId="0" xfId="0" applyNumberFormat="1" applyFill="1" applyBorder="1"/>
    <xf numFmtId="10" fontId="0" fillId="15" borderId="0" xfId="0" applyNumberFormat="1" applyFill="1" applyBorder="1"/>
    <xf numFmtId="2" fontId="0" fillId="12" borderId="0" xfId="0" applyNumberFormat="1" applyFill="1"/>
    <xf numFmtId="0" fontId="0" fillId="12" borderId="0" xfId="0" applyFill="1"/>
    <xf numFmtId="0" fontId="0" fillId="0" borderId="25" xfId="0" applyBorder="1" applyAlignment="1">
      <alignment horizontal="center" vertical="center"/>
    </xf>
    <xf numFmtId="165" fontId="0" fillId="13" borderId="0" xfId="0" applyNumberFormat="1" applyFill="1" applyBorder="1"/>
    <xf numFmtId="0" fontId="2" fillId="0" borderId="0" xfId="0" applyFont="1" applyAlignment="1">
      <alignment horizontal="center" vertical="center"/>
    </xf>
    <xf numFmtId="165" fontId="0" fillId="15" borderId="0" xfId="0" applyNumberFormat="1" applyFill="1" applyBorder="1"/>
    <xf numFmtId="10" fontId="0" fillId="14" borderId="0" xfId="0" applyNumberFormat="1" applyFill="1"/>
    <xf numFmtId="10" fontId="0" fillId="13" borderId="0" xfId="0" applyNumberFormat="1" applyFill="1"/>
    <xf numFmtId="10" fontId="0" fillId="15" borderId="0" xfId="0" applyNumberFormat="1" applyFill="1"/>
    <xf numFmtId="10" fontId="0" fillId="2" borderId="0" xfId="0" applyNumberFormat="1" applyFill="1"/>
    <xf numFmtId="10" fontId="2" fillId="14" borderId="0" xfId="0" applyNumberFormat="1" applyFont="1" applyFill="1"/>
    <xf numFmtId="166" fontId="0" fillId="14" borderId="0" xfId="0" applyNumberFormat="1" applyFill="1"/>
    <xf numFmtId="166" fontId="0" fillId="13" borderId="0" xfId="0" applyNumberFormat="1" applyFill="1"/>
    <xf numFmtId="166" fontId="0" fillId="15" borderId="0" xfId="0" applyNumberFormat="1" applyFill="1"/>
    <xf numFmtId="166" fontId="0" fillId="2" borderId="0" xfId="0" applyNumberFormat="1" applyFill="1"/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34" xfId="0" applyFill="1" applyBorder="1"/>
    <xf numFmtId="0" fontId="0" fillId="5" borderId="33" xfId="0" applyFill="1" applyBorder="1"/>
    <xf numFmtId="0" fontId="0" fillId="5" borderId="26" xfId="0" applyFill="1" applyBorder="1"/>
    <xf numFmtId="0" fontId="0" fillId="10" borderId="10" xfId="0" applyFill="1" applyBorder="1"/>
    <xf numFmtId="0" fontId="0" fillId="6" borderId="11" xfId="0" applyFill="1" applyBorder="1"/>
    <xf numFmtId="0" fontId="0" fillId="6" borderId="21" xfId="0" applyFill="1" applyBorder="1"/>
    <xf numFmtId="0" fontId="0" fillId="9" borderId="35" xfId="0" applyFill="1" applyBorder="1"/>
    <xf numFmtId="166" fontId="0" fillId="10" borderId="21" xfId="0" applyNumberFormat="1" applyFill="1" applyBorder="1"/>
    <xf numFmtId="166" fontId="0" fillId="11" borderId="20" xfId="0" applyNumberFormat="1" applyFill="1" applyBorder="1"/>
    <xf numFmtId="0" fontId="0" fillId="6" borderId="14" xfId="0" applyFill="1" applyBorder="1"/>
    <xf numFmtId="0" fontId="0" fillId="6" borderId="20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workbookViewId="0">
      <selection activeCell="L15" sqref="L15"/>
    </sheetView>
  </sheetViews>
  <sheetFormatPr defaultRowHeight="15" x14ac:dyDescent="0.25"/>
  <cols>
    <col min="1" max="1" width="15.140625" bestFit="1" customWidth="1"/>
    <col min="3" max="3" width="11.85546875" bestFit="1" customWidth="1"/>
    <col min="6" max="6" width="11.85546875" bestFit="1" customWidth="1"/>
    <col min="8" max="8" width="9.28515625" bestFit="1" customWidth="1"/>
    <col min="15" max="15" width="9.140625" customWidth="1"/>
    <col min="20" max="20" width="11.85546875" bestFit="1" customWidth="1"/>
  </cols>
  <sheetData>
    <row r="1" spans="1:15" x14ac:dyDescent="0.25">
      <c r="A1" s="76" t="s">
        <v>23</v>
      </c>
      <c r="B1" s="76"/>
      <c r="C1" s="76"/>
      <c r="D1" s="76"/>
      <c r="F1" s="77" t="s">
        <v>24</v>
      </c>
      <c r="G1" s="77"/>
      <c r="H1" s="77"/>
      <c r="I1" s="77"/>
      <c r="J1" s="77"/>
      <c r="K1" s="77"/>
      <c r="L1" s="77"/>
      <c r="M1" s="77"/>
      <c r="N1" s="77"/>
      <c r="O1" s="77"/>
    </row>
    <row r="2" spans="1:15" ht="15.75" thickBot="1" x14ac:dyDescent="0.3">
      <c r="A2" s="35" t="s">
        <v>0</v>
      </c>
      <c r="B2" s="36">
        <v>41.5</v>
      </c>
      <c r="C2" s="33" t="s">
        <v>1</v>
      </c>
      <c r="D2" s="37">
        <v>304.3</v>
      </c>
      <c r="F2" s="20" t="s">
        <v>2</v>
      </c>
      <c r="G2" s="21">
        <v>1.0492999999999999</v>
      </c>
      <c r="H2" s="22" t="s">
        <v>3</v>
      </c>
      <c r="I2" s="95">
        <f>G2-G3</f>
        <v>8.499999999999952E-3</v>
      </c>
      <c r="J2" s="99">
        <f>1.1/12</f>
        <v>9.1666666666666674E-2</v>
      </c>
      <c r="K2" s="23">
        <f>1.1/6</f>
        <v>0.18333333333333335</v>
      </c>
      <c r="L2" s="23">
        <f>1.1/4</f>
        <v>0.27500000000000002</v>
      </c>
      <c r="M2" s="23">
        <f>1.1/2</f>
        <v>0.55000000000000004</v>
      </c>
      <c r="N2" s="104"/>
      <c r="O2" s="104"/>
    </row>
    <row r="3" spans="1:15" ht="15.75" thickBot="1" x14ac:dyDescent="0.3">
      <c r="A3" s="38">
        <v>0.125</v>
      </c>
      <c r="B3" s="39">
        <f t="shared" ref="B3:B9" si="0">$B$2*A3</f>
        <v>5.1875</v>
      </c>
      <c r="C3" s="34"/>
      <c r="D3" s="40">
        <f t="shared" ref="D3:D9" si="1">360-(360-$D$2)*A3</f>
        <v>353.03750000000002</v>
      </c>
      <c r="F3" s="24" t="s">
        <v>4</v>
      </c>
      <c r="G3" s="2">
        <v>1.0407999999999999</v>
      </c>
      <c r="H3" s="1" t="s">
        <v>5</v>
      </c>
      <c r="I3" s="96">
        <f>G4+I2</f>
        <v>1.0532999999999999</v>
      </c>
      <c r="J3" s="100">
        <f>1.1/2</f>
        <v>0.55000000000000004</v>
      </c>
      <c r="K3" s="25">
        <f>1.1/4</f>
        <v>0.27500000000000002</v>
      </c>
      <c r="L3" s="25">
        <f>1.1/6</f>
        <v>0.18333333333333335</v>
      </c>
      <c r="M3" s="25">
        <f>1.1/12</f>
        <v>9.1666666666666674E-2</v>
      </c>
      <c r="N3" s="105"/>
      <c r="O3" s="105"/>
    </row>
    <row r="4" spans="1:15" ht="16.5" thickTop="1" thickBot="1" x14ac:dyDescent="0.3">
      <c r="A4" s="38">
        <v>0.25</v>
      </c>
      <c r="B4" s="39">
        <f t="shared" si="0"/>
        <v>10.375</v>
      </c>
      <c r="C4" s="34"/>
      <c r="D4" s="40">
        <f t="shared" si="1"/>
        <v>346.07499999999999</v>
      </c>
      <c r="F4" s="27" t="s">
        <v>6</v>
      </c>
      <c r="G4" s="3">
        <v>1.0448</v>
      </c>
      <c r="H4" s="4" t="s">
        <v>7</v>
      </c>
      <c r="I4" s="97">
        <f>G4-I2</f>
        <v>1.0363</v>
      </c>
      <c r="J4" s="101" t="s">
        <v>8</v>
      </c>
      <c r="K4" s="5">
        <v>1.0414000000000001</v>
      </c>
      <c r="L4" s="6" t="s">
        <v>9</v>
      </c>
      <c r="M4" s="5">
        <f>IF(G4&lt;K4,(G2+G3*2+G4),IF(G4&gt;K4,(G2*2+G3+G4),(G2+G3+G4*2)))</f>
        <v>4.1841999999999997</v>
      </c>
      <c r="N4" s="26"/>
      <c r="O4" s="26"/>
    </row>
    <row r="5" spans="1:15" x14ac:dyDescent="0.25">
      <c r="A5" s="38">
        <v>0.375</v>
      </c>
      <c r="B5" s="39">
        <f t="shared" si="0"/>
        <v>15.5625</v>
      </c>
      <c r="C5" s="34"/>
      <c r="D5" s="40">
        <f t="shared" si="1"/>
        <v>339.11250000000001</v>
      </c>
      <c r="F5" s="28"/>
      <c r="G5" s="7" t="s">
        <v>10</v>
      </c>
      <c r="H5" s="7" t="s">
        <v>11</v>
      </c>
      <c r="I5" s="98" t="s">
        <v>12</v>
      </c>
      <c r="J5" s="7" t="s">
        <v>13</v>
      </c>
      <c r="K5" s="8" t="s">
        <v>14</v>
      </c>
      <c r="L5" s="9" t="s">
        <v>15</v>
      </c>
      <c r="M5" s="9" t="s">
        <v>16</v>
      </c>
      <c r="N5" s="9" t="s">
        <v>17</v>
      </c>
      <c r="O5" s="18" t="s">
        <v>18</v>
      </c>
    </row>
    <row r="6" spans="1:15" x14ac:dyDescent="0.25">
      <c r="A6" s="41">
        <v>0.5</v>
      </c>
      <c r="B6" s="42">
        <f t="shared" si="0"/>
        <v>20.75</v>
      </c>
      <c r="C6" s="43"/>
      <c r="D6" s="44">
        <f t="shared" si="1"/>
        <v>332.15</v>
      </c>
      <c r="F6" s="28" t="s">
        <v>19</v>
      </c>
      <c r="G6" s="29"/>
      <c r="H6" s="10">
        <f>G3-2*(G2-K6)</f>
        <v>1.0321333333333333</v>
      </c>
      <c r="I6" s="11">
        <f>K6-L6+J6</f>
        <v>1.0364666666666666</v>
      </c>
      <c r="J6" s="102">
        <f>K6*2-G2</f>
        <v>1.0406333333333333</v>
      </c>
      <c r="K6" s="12">
        <f>($G$2+$G$3+$G$4)/3</f>
        <v>1.0449666666666666</v>
      </c>
      <c r="L6" s="13">
        <f>2*K6-G3</f>
        <v>1.0491333333333333</v>
      </c>
      <c r="M6" s="13">
        <f>K6+L6-J6</f>
        <v>1.0534666666666668</v>
      </c>
      <c r="N6" s="13">
        <f>G2+2*(K6-G3)</f>
        <v>1.0576333333333332</v>
      </c>
      <c r="O6" s="103"/>
    </row>
    <row r="7" spans="1:15" x14ac:dyDescent="0.25">
      <c r="A7" s="38">
        <v>0.625</v>
      </c>
      <c r="B7" s="39">
        <f t="shared" si="0"/>
        <v>25.9375</v>
      </c>
      <c r="C7" s="34"/>
      <c r="D7" s="40">
        <f t="shared" si="1"/>
        <v>325.1875</v>
      </c>
      <c r="F7" s="28" t="s">
        <v>20</v>
      </c>
      <c r="G7" s="14">
        <f>H7-I2</f>
        <v>1.0236333333333334</v>
      </c>
      <c r="H7" s="14">
        <f>G3-2*(G2-K7)</f>
        <v>1.0321333333333333</v>
      </c>
      <c r="I7" s="15">
        <f>K7-I2</f>
        <v>1.0364666666666666</v>
      </c>
      <c r="J7" s="15">
        <f>2*K7-G2</f>
        <v>1.0406333333333333</v>
      </c>
      <c r="K7" s="12">
        <f t="shared" ref="K7:K8" si="2">($G$2+$G$3+$G$4)/3</f>
        <v>1.0449666666666666</v>
      </c>
      <c r="L7" s="13">
        <f>2*K7-G3</f>
        <v>1.0491333333333333</v>
      </c>
      <c r="M7" s="13">
        <f>K7+I2</f>
        <v>1.0534666666666666</v>
      </c>
      <c r="N7" s="13">
        <f>G2+2*(K7-G3)</f>
        <v>1.0576333333333332</v>
      </c>
      <c r="O7" s="19">
        <f>N7+I2</f>
        <v>1.0661333333333332</v>
      </c>
    </row>
    <row r="8" spans="1:15" x14ac:dyDescent="0.25">
      <c r="A8" s="38">
        <v>0.75</v>
      </c>
      <c r="B8" s="39">
        <f t="shared" si="0"/>
        <v>31.125</v>
      </c>
      <c r="C8" s="34"/>
      <c r="D8" s="40">
        <f t="shared" si="1"/>
        <v>318.22500000000002</v>
      </c>
      <c r="F8" s="28" t="s">
        <v>21</v>
      </c>
      <c r="G8" s="16">
        <f>$G$4-$I$2*J3</f>
        <v>1.040125</v>
      </c>
      <c r="H8" s="16">
        <f t="shared" ref="H8:J8" si="3">$G$4-$I$2*K3</f>
        <v>1.0424625000000001</v>
      </c>
      <c r="I8" s="16">
        <f t="shared" si="3"/>
        <v>1.0432416666666666</v>
      </c>
      <c r="J8" s="16">
        <f t="shared" si="3"/>
        <v>1.0440208333333334</v>
      </c>
      <c r="K8" s="12">
        <f t="shared" si="2"/>
        <v>1.0449666666666666</v>
      </c>
      <c r="L8" s="17">
        <f>$G$4+$I$2*J2</f>
        <v>1.0455791666666665</v>
      </c>
      <c r="M8" s="17">
        <f t="shared" ref="M8:O8" si="4">$G$4+$I$2*K2</f>
        <v>1.0463583333333333</v>
      </c>
      <c r="N8" s="17">
        <f t="shared" si="4"/>
        <v>1.0471374999999998</v>
      </c>
      <c r="O8" s="17">
        <f t="shared" si="4"/>
        <v>1.0494749999999999</v>
      </c>
    </row>
    <row r="9" spans="1:15" x14ac:dyDescent="0.25">
      <c r="A9" s="45">
        <v>0.875</v>
      </c>
      <c r="B9" s="46">
        <f t="shared" si="0"/>
        <v>36.3125</v>
      </c>
      <c r="C9" s="47"/>
      <c r="D9" s="48">
        <f t="shared" si="1"/>
        <v>311.26249999999999</v>
      </c>
      <c r="F9" s="30" t="s">
        <v>22</v>
      </c>
      <c r="G9" s="31"/>
      <c r="H9" s="31"/>
      <c r="I9" s="31"/>
      <c r="J9" s="15">
        <f>M4/2-G2</f>
        <v>1.0427999999999999</v>
      </c>
      <c r="K9" s="12">
        <f>M4/4</f>
        <v>1.0460499999999999</v>
      </c>
      <c r="L9" s="32"/>
      <c r="M9" s="32"/>
      <c r="N9" s="32"/>
      <c r="O9" s="32"/>
    </row>
    <row r="11" spans="1:15" ht="15.75" thickBot="1" x14ac:dyDescent="0.3">
      <c r="A11" s="78" t="s">
        <v>25</v>
      </c>
      <c r="B11" s="78"/>
      <c r="C11" s="78"/>
      <c r="D11" s="78"/>
      <c r="E11" s="78"/>
    </row>
    <row r="12" spans="1:15" ht="15.75" thickBot="1" x14ac:dyDescent="0.3">
      <c r="A12" s="87" t="s">
        <v>29</v>
      </c>
      <c r="B12" s="84" t="s">
        <v>26</v>
      </c>
      <c r="C12" s="85"/>
      <c r="D12" s="85"/>
      <c r="E12" s="86"/>
      <c r="F12" s="84" t="s">
        <v>34</v>
      </c>
      <c r="G12" s="85"/>
      <c r="H12" s="85"/>
      <c r="I12" s="86"/>
    </row>
    <row r="13" spans="1:15" x14ac:dyDescent="0.25">
      <c r="A13" s="88"/>
      <c r="B13" s="83" t="s">
        <v>27</v>
      </c>
      <c r="C13" s="77"/>
      <c r="D13" s="77" t="s">
        <v>28</v>
      </c>
      <c r="E13" s="82"/>
      <c r="F13" s="53" t="s">
        <v>35</v>
      </c>
      <c r="G13" s="53" t="s">
        <v>36</v>
      </c>
      <c r="H13" s="53" t="s">
        <v>37</v>
      </c>
      <c r="I13" s="53" t="s">
        <v>38</v>
      </c>
    </row>
    <row r="14" spans="1:15" ht="15.75" thickBot="1" x14ac:dyDescent="0.3">
      <c r="A14" s="89"/>
      <c r="B14" s="79">
        <v>115.25</v>
      </c>
      <c r="C14" s="80"/>
      <c r="D14" s="80">
        <v>113.45</v>
      </c>
      <c r="E14" s="81"/>
      <c r="F14" s="54">
        <f>B14-D14</f>
        <v>1.7999999999999972</v>
      </c>
      <c r="G14" s="54">
        <f>F14*2</f>
        <v>3.5999999999999943</v>
      </c>
      <c r="H14" s="54">
        <f t="shared" ref="H14:I14" si="5">G14*2</f>
        <v>7.1999999999999886</v>
      </c>
      <c r="I14" s="54">
        <f t="shared" si="5"/>
        <v>14.399999999999977</v>
      </c>
    </row>
    <row r="15" spans="1:15" x14ac:dyDescent="0.25">
      <c r="A15" s="93" t="s">
        <v>30</v>
      </c>
      <c r="B15" s="55">
        <f>C15+F14</f>
        <v>117.95</v>
      </c>
      <c r="C15" s="55">
        <f>$B$14+$F$14/2</f>
        <v>116.15</v>
      </c>
      <c r="D15" s="55">
        <f>C16</f>
        <v>114.35000000000001</v>
      </c>
      <c r="E15" s="55">
        <f>D16</f>
        <v>112.55000000000001</v>
      </c>
      <c r="N15" s="57"/>
    </row>
    <row r="16" spans="1:15" ht="15.75" thickBot="1" x14ac:dyDescent="0.3">
      <c r="A16" s="94"/>
      <c r="B16" s="56">
        <f>C15</f>
        <v>116.15</v>
      </c>
      <c r="C16" s="56">
        <f>C15-F14</f>
        <v>114.35000000000001</v>
      </c>
      <c r="D16" s="56">
        <f>D15-F14</f>
        <v>112.55000000000001</v>
      </c>
      <c r="E16" s="56">
        <f>E15-F14</f>
        <v>110.75000000000001</v>
      </c>
      <c r="K16" s="61"/>
      <c r="N16" s="50"/>
    </row>
    <row r="17" spans="1:14" x14ac:dyDescent="0.25">
      <c r="A17" s="87" t="s">
        <v>31</v>
      </c>
      <c r="B17" s="84">
        <f>B15</f>
        <v>117.95</v>
      </c>
      <c r="C17" s="86"/>
      <c r="D17" s="84">
        <f>D15</f>
        <v>114.35000000000001</v>
      </c>
      <c r="E17" s="86"/>
      <c r="K17" s="62"/>
      <c r="N17" s="50"/>
    </row>
    <row r="18" spans="1:14" ht="15.75" thickBot="1" x14ac:dyDescent="0.3">
      <c r="A18" s="89"/>
      <c r="B18" s="79">
        <f>C16</f>
        <v>114.35000000000001</v>
      </c>
      <c r="C18" s="81"/>
      <c r="D18" s="79">
        <f>E16</f>
        <v>110.75000000000001</v>
      </c>
      <c r="E18" s="81"/>
      <c r="K18" s="62"/>
      <c r="N18" s="50"/>
    </row>
    <row r="19" spans="1:14" ht="15.75" thickBot="1" x14ac:dyDescent="0.3">
      <c r="A19" s="63" t="s">
        <v>32</v>
      </c>
      <c r="B19" s="90">
        <v>117.55</v>
      </c>
      <c r="C19" s="91"/>
      <c r="D19" s="90">
        <v>111.55</v>
      </c>
      <c r="E19" s="91"/>
      <c r="K19" s="62"/>
      <c r="N19" s="52"/>
    </row>
    <row r="20" spans="1:14" ht="15.75" thickBot="1" x14ac:dyDescent="0.3">
      <c r="A20" s="63" t="s">
        <v>33</v>
      </c>
      <c r="B20" s="90">
        <f>B17+I14/4</f>
        <v>121.55</v>
      </c>
      <c r="C20" s="92"/>
      <c r="D20" s="90">
        <f>D19-I14/4</f>
        <v>107.95</v>
      </c>
      <c r="E20" s="91"/>
      <c r="K20" s="62"/>
      <c r="N20" s="50"/>
    </row>
    <row r="21" spans="1:14" x14ac:dyDescent="0.25">
      <c r="A21" s="65" t="s">
        <v>42</v>
      </c>
      <c r="B21" s="65" t="s">
        <v>41</v>
      </c>
      <c r="C21" s="65" t="s">
        <v>40</v>
      </c>
      <c r="D21" s="65" t="s">
        <v>39</v>
      </c>
      <c r="E21" s="65" t="s">
        <v>39</v>
      </c>
      <c r="F21" s="65" t="s">
        <v>40</v>
      </c>
      <c r="G21" s="65" t="s">
        <v>41</v>
      </c>
      <c r="H21" s="65" t="s">
        <v>42</v>
      </c>
      <c r="K21" s="62"/>
      <c r="N21" s="50"/>
    </row>
    <row r="22" spans="1:14" x14ac:dyDescent="0.25">
      <c r="A22" s="67">
        <v>0.25</v>
      </c>
      <c r="B22" s="67">
        <v>0.5</v>
      </c>
      <c r="C22" s="67">
        <v>1</v>
      </c>
      <c r="D22" s="59">
        <v>1</v>
      </c>
      <c r="E22" s="72">
        <f>$B$15</f>
        <v>117.95</v>
      </c>
      <c r="F22" s="72">
        <f t="shared" ref="F22:H22" si="6">$B$15</f>
        <v>117.95</v>
      </c>
      <c r="G22" s="72">
        <f t="shared" si="6"/>
        <v>117.95</v>
      </c>
      <c r="H22" s="72">
        <f t="shared" si="6"/>
        <v>117.95</v>
      </c>
      <c r="K22" s="62"/>
      <c r="N22" s="50"/>
    </row>
    <row r="23" spans="1:14" x14ac:dyDescent="0.25">
      <c r="A23" s="68"/>
      <c r="B23" s="68"/>
      <c r="C23" s="68"/>
      <c r="D23" s="64">
        <v>0.875</v>
      </c>
      <c r="E23" s="73">
        <f t="shared" ref="E23:E54" si="7">E22-$F$14*$D$29</f>
        <v>117.72500000000001</v>
      </c>
      <c r="F23" s="73"/>
      <c r="G23" s="73"/>
      <c r="H23" s="73"/>
      <c r="K23" s="62"/>
      <c r="N23" s="49"/>
    </row>
    <row r="24" spans="1:14" x14ac:dyDescent="0.25">
      <c r="A24" s="69"/>
      <c r="B24" s="69"/>
      <c r="C24" s="69">
        <v>0.875</v>
      </c>
      <c r="D24" s="66">
        <v>0.75</v>
      </c>
      <c r="E24" s="74">
        <f t="shared" si="7"/>
        <v>117.50000000000001</v>
      </c>
      <c r="F24" s="74">
        <f>F22-$G$14*$D$29</f>
        <v>117.5</v>
      </c>
      <c r="G24" s="74"/>
      <c r="H24" s="74"/>
      <c r="K24" s="62"/>
    </row>
    <row r="25" spans="1:14" x14ac:dyDescent="0.25">
      <c r="A25" s="68"/>
      <c r="B25" s="68"/>
      <c r="C25" s="68"/>
      <c r="D25" s="64">
        <v>0.625</v>
      </c>
      <c r="E25" s="73">
        <f t="shared" si="7"/>
        <v>117.27500000000002</v>
      </c>
      <c r="F25" s="73"/>
      <c r="G25" s="73"/>
      <c r="H25" s="73"/>
      <c r="K25" s="62"/>
    </row>
    <row r="26" spans="1:14" x14ac:dyDescent="0.25">
      <c r="A26" s="70"/>
      <c r="B26" s="70">
        <v>0.375</v>
      </c>
      <c r="C26" s="70">
        <v>0.75</v>
      </c>
      <c r="D26" s="51">
        <v>0.5</v>
      </c>
      <c r="E26" s="75">
        <f t="shared" si="7"/>
        <v>117.05000000000003</v>
      </c>
      <c r="F26" s="75">
        <f>F24-$G$14*$D$29</f>
        <v>117.05</v>
      </c>
      <c r="G26" s="75">
        <f>G22-$H$14*$D$29</f>
        <v>117.05000000000001</v>
      </c>
      <c r="H26" s="75"/>
      <c r="K26" s="62"/>
    </row>
    <row r="27" spans="1:14" x14ac:dyDescent="0.25">
      <c r="A27" s="68"/>
      <c r="B27" s="68"/>
      <c r="C27" s="68"/>
      <c r="D27" s="64">
        <v>0.375</v>
      </c>
      <c r="E27" s="73">
        <f t="shared" si="7"/>
        <v>116.82500000000003</v>
      </c>
      <c r="F27" s="73"/>
      <c r="G27" s="73"/>
      <c r="H27" s="73"/>
      <c r="K27" s="62"/>
    </row>
    <row r="28" spans="1:14" x14ac:dyDescent="0.25">
      <c r="A28" s="69"/>
      <c r="B28" s="69"/>
      <c r="C28" s="69">
        <v>0.625</v>
      </c>
      <c r="D28" s="66">
        <v>0.25</v>
      </c>
      <c r="E28" s="74">
        <f t="shared" si="7"/>
        <v>116.60000000000004</v>
      </c>
      <c r="F28" s="74">
        <f>F26-$G$14*$D$29</f>
        <v>116.6</v>
      </c>
      <c r="G28" s="74"/>
      <c r="H28" s="74"/>
      <c r="K28" s="62"/>
    </row>
    <row r="29" spans="1:14" x14ac:dyDescent="0.25">
      <c r="A29" s="68"/>
      <c r="B29" s="68"/>
      <c r="C29" s="68"/>
      <c r="D29" s="64">
        <v>0.125</v>
      </c>
      <c r="E29" s="73">
        <f t="shared" si="7"/>
        <v>116.37500000000004</v>
      </c>
      <c r="F29" s="73"/>
      <c r="G29" s="73"/>
      <c r="H29" s="73"/>
      <c r="K29" s="62"/>
    </row>
    <row r="30" spans="1:14" x14ac:dyDescent="0.25">
      <c r="A30" s="67">
        <v>0.125</v>
      </c>
      <c r="B30" s="67">
        <v>0.25</v>
      </c>
      <c r="C30" s="67">
        <v>0.5</v>
      </c>
      <c r="D30" s="59">
        <v>1</v>
      </c>
      <c r="E30" s="72">
        <f t="shared" si="7"/>
        <v>116.15000000000005</v>
      </c>
      <c r="F30" s="72">
        <f>F28-$G$14*$D$29</f>
        <v>116.14999999999999</v>
      </c>
      <c r="G30" s="72">
        <f>G26-$H$14*$D$29</f>
        <v>116.15</v>
      </c>
      <c r="H30" s="72">
        <f>H22-$I$14*$D$29</f>
        <v>116.15</v>
      </c>
      <c r="K30" s="62"/>
    </row>
    <row r="31" spans="1:14" x14ac:dyDescent="0.25">
      <c r="A31" s="68"/>
      <c r="B31" s="68"/>
      <c r="C31" s="68"/>
      <c r="D31" s="64">
        <v>0.875</v>
      </c>
      <c r="E31" s="73">
        <f t="shared" si="7"/>
        <v>115.92500000000005</v>
      </c>
      <c r="F31" s="73"/>
      <c r="G31" s="73"/>
      <c r="H31" s="73"/>
      <c r="K31" s="62"/>
    </row>
    <row r="32" spans="1:14" x14ac:dyDescent="0.25">
      <c r="A32" s="69"/>
      <c r="B32" s="69"/>
      <c r="C32" s="69">
        <v>0.375</v>
      </c>
      <c r="D32" s="66">
        <v>0.75</v>
      </c>
      <c r="E32" s="74">
        <f t="shared" si="7"/>
        <v>115.70000000000006</v>
      </c>
      <c r="F32" s="74">
        <f>F30-$G$14*$D$29</f>
        <v>115.69999999999999</v>
      </c>
      <c r="G32" s="74"/>
      <c r="H32" s="74"/>
      <c r="K32" s="61"/>
    </row>
    <row r="33" spans="1:18" x14ac:dyDescent="0.25">
      <c r="A33" s="68"/>
      <c r="B33" s="68"/>
      <c r="C33" s="68"/>
      <c r="D33" s="64">
        <v>0.625</v>
      </c>
      <c r="E33" s="73">
        <f t="shared" si="7"/>
        <v>115.47500000000007</v>
      </c>
      <c r="F33" s="73"/>
      <c r="G33" s="73"/>
      <c r="H33" s="73"/>
      <c r="K33" s="62"/>
    </row>
    <row r="34" spans="1:18" x14ac:dyDescent="0.25">
      <c r="A34" s="70"/>
      <c r="B34" s="70">
        <v>0.125</v>
      </c>
      <c r="C34" s="70">
        <v>0.25</v>
      </c>
      <c r="D34" s="51">
        <v>0.5</v>
      </c>
      <c r="E34" s="75">
        <f t="shared" si="7"/>
        <v>115.25000000000007</v>
      </c>
      <c r="F34" s="75">
        <f>F32-$G$14*$D$29</f>
        <v>115.24999999999999</v>
      </c>
      <c r="G34" s="75">
        <f>G30-$H$14*$D$29</f>
        <v>115.25</v>
      </c>
      <c r="H34" s="75"/>
      <c r="K34" s="62"/>
    </row>
    <row r="35" spans="1:18" x14ac:dyDescent="0.25">
      <c r="A35" s="68"/>
      <c r="B35" s="68"/>
      <c r="C35" s="68"/>
      <c r="D35" s="64">
        <v>0.375</v>
      </c>
      <c r="E35" s="73">
        <f t="shared" si="7"/>
        <v>115.02500000000008</v>
      </c>
      <c r="F35" s="73"/>
      <c r="G35" s="73"/>
      <c r="H35" s="73"/>
      <c r="K35" s="62"/>
    </row>
    <row r="36" spans="1:18" x14ac:dyDescent="0.25">
      <c r="A36" s="69"/>
      <c r="B36" s="69"/>
      <c r="C36" s="69">
        <v>0.125</v>
      </c>
      <c r="D36" s="66">
        <v>0.25</v>
      </c>
      <c r="E36" s="74">
        <f t="shared" si="7"/>
        <v>114.80000000000008</v>
      </c>
      <c r="F36" s="74">
        <f>F34-$G$14*$D$29</f>
        <v>114.79999999999998</v>
      </c>
      <c r="G36" s="74"/>
      <c r="H36" s="74"/>
      <c r="K36" s="62"/>
      <c r="R36" s="50"/>
    </row>
    <row r="37" spans="1:18" x14ac:dyDescent="0.25">
      <c r="A37" s="68"/>
      <c r="B37" s="68"/>
      <c r="C37" s="68"/>
      <c r="D37" s="64">
        <v>0.125</v>
      </c>
      <c r="E37" s="73">
        <f t="shared" si="7"/>
        <v>114.57500000000009</v>
      </c>
      <c r="F37" s="73"/>
      <c r="G37" s="73"/>
      <c r="H37" s="73"/>
      <c r="K37" s="62"/>
      <c r="R37" s="52"/>
    </row>
    <row r="38" spans="1:18" x14ac:dyDescent="0.25">
      <c r="A38" s="59">
        <v>0</v>
      </c>
      <c r="B38" s="59">
        <v>0</v>
      </c>
      <c r="C38" s="59">
        <v>0</v>
      </c>
      <c r="D38" s="59">
        <v>0</v>
      </c>
      <c r="E38" s="72">
        <f t="shared" si="7"/>
        <v>114.35000000000009</v>
      </c>
      <c r="F38" s="72">
        <f>F36-$G$14*$D$29</f>
        <v>114.34999999999998</v>
      </c>
      <c r="G38" s="72">
        <f>G34-$H$14*$D$29</f>
        <v>114.35</v>
      </c>
      <c r="H38" s="72">
        <f>H30-$I$14*$D$29</f>
        <v>114.35000000000001</v>
      </c>
      <c r="K38" s="62"/>
      <c r="R38" s="34"/>
    </row>
    <row r="39" spans="1:18" x14ac:dyDescent="0.25">
      <c r="A39" s="68"/>
      <c r="B39" s="68"/>
      <c r="C39" s="68"/>
      <c r="D39" s="64">
        <v>0.125</v>
      </c>
      <c r="E39" s="73">
        <f t="shared" si="7"/>
        <v>114.1250000000001</v>
      </c>
      <c r="F39" s="73"/>
      <c r="G39" s="73"/>
      <c r="H39" s="73"/>
      <c r="K39" s="62"/>
    </row>
    <row r="40" spans="1:18" x14ac:dyDescent="0.25">
      <c r="A40" s="69"/>
      <c r="B40" s="69"/>
      <c r="C40" s="69">
        <v>0.125</v>
      </c>
      <c r="D40" s="66">
        <v>0.25</v>
      </c>
      <c r="E40" s="74">
        <f t="shared" si="7"/>
        <v>113.90000000000011</v>
      </c>
      <c r="F40" s="74">
        <f>F38-$G$14*$D$29</f>
        <v>113.89999999999998</v>
      </c>
      <c r="G40" s="74"/>
      <c r="H40" s="74"/>
      <c r="K40" s="62"/>
    </row>
    <row r="41" spans="1:18" x14ac:dyDescent="0.25">
      <c r="A41" s="68"/>
      <c r="B41" s="68"/>
      <c r="C41" s="68"/>
      <c r="D41" s="58">
        <v>0.375</v>
      </c>
      <c r="E41" s="73">
        <f t="shared" si="7"/>
        <v>113.67500000000011</v>
      </c>
      <c r="F41" s="73"/>
      <c r="G41" s="73"/>
      <c r="H41" s="73"/>
      <c r="K41" s="62"/>
    </row>
    <row r="42" spans="1:18" x14ac:dyDescent="0.25">
      <c r="A42" s="70"/>
      <c r="B42" s="70">
        <v>0.125</v>
      </c>
      <c r="C42" s="70">
        <v>0.25</v>
      </c>
      <c r="D42" s="51">
        <v>0.5</v>
      </c>
      <c r="E42" s="75">
        <f t="shared" si="7"/>
        <v>113.45000000000012</v>
      </c>
      <c r="F42" s="75">
        <f>F40-$G$14*$D$29</f>
        <v>113.44999999999997</v>
      </c>
      <c r="G42" s="75">
        <f>G38-$H$14*$D$29</f>
        <v>113.44999999999999</v>
      </c>
      <c r="H42" s="75"/>
      <c r="K42" s="62"/>
    </row>
    <row r="43" spans="1:18" x14ac:dyDescent="0.25">
      <c r="A43" s="68"/>
      <c r="B43" s="68"/>
      <c r="C43" s="68"/>
      <c r="D43" s="64">
        <v>0.625</v>
      </c>
      <c r="E43" s="73">
        <f t="shared" si="7"/>
        <v>113.22500000000012</v>
      </c>
      <c r="F43" s="73"/>
      <c r="G43" s="73"/>
      <c r="H43" s="73"/>
      <c r="K43" s="62"/>
    </row>
    <row r="44" spans="1:18" x14ac:dyDescent="0.25">
      <c r="A44" s="69"/>
      <c r="B44" s="69"/>
      <c r="C44" s="69">
        <v>0.375</v>
      </c>
      <c r="D44" s="60">
        <v>0.75</v>
      </c>
      <c r="E44" s="74">
        <f t="shared" si="7"/>
        <v>113.00000000000013</v>
      </c>
      <c r="F44" s="74">
        <f>F42-$G$14*$D$29</f>
        <v>112.99999999999997</v>
      </c>
      <c r="G44" s="74"/>
      <c r="H44" s="74"/>
      <c r="K44" s="62"/>
    </row>
    <row r="45" spans="1:18" x14ac:dyDescent="0.25">
      <c r="A45" s="68"/>
      <c r="B45" s="68"/>
      <c r="C45" s="68"/>
      <c r="D45" s="64">
        <v>0.875</v>
      </c>
      <c r="E45" s="73">
        <f t="shared" si="7"/>
        <v>112.77500000000013</v>
      </c>
      <c r="F45" s="73"/>
      <c r="G45" s="73"/>
      <c r="H45" s="73"/>
      <c r="K45" s="62"/>
    </row>
    <row r="46" spans="1:18" x14ac:dyDescent="0.25">
      <c r="A46" s="67">
        <v>0.125</v>
      </c>
      <c r="B46" s="71">
        <v>0.25</v>
      </c>
      <c r="C46" s="67">
        <v>0.5</v>
      </c>
      <c r="D46" s="59">
        <v>1</v>
      </c>
      <c r="E46" s="72">
        <f t="shared" si="7"/>
        <v>112.55000000000014</v>
      </c>
      <c r="F46" s="72">
        <f>F44-$G$14*$D$29</f>
        <v>112.54999999999997</v>
      </c>
      <c r="G46" s="72">
        <f>G42-$H$14*$D$29</f>
        <v>112.54999999999998</v>
      </c>
      <c r="H46" s="72">
        <f>H38-$I$14*$D$29</f>
        <v>112.55000000000001</v>
      </c>
      <c r="K46" s="62"/>
    </row>
    <row r="47" spans="1:18" x14ac:dyDescent="0.25">
      <c r="A47" s="68"/>
      <c r="B47" s="68"/>
      <c r="C47" s="68"/>
      <c r="D47" s="64">
        <v>0.125</v>
      </c>
      <c r="E47" s="73">
        <f t="shared" si="7"/>
        <v>112.32500000000014</v>
      </c>
      <c r="F47" s="73"/>
      <c r="G47" s="73"/>
      <c r="H47" s="73"/>
      <c r="K47" s="62"/>
    </row>
    <row r="48" spans="1:18" x14ac:dyDescent="0.25">
      <c r="A48" s="69"/>
      <c r="B48" s="69"/>
      <c r="C48" s="69">
        <v>0.625</v>
      </c>
      <c r="D48" s="66">
        <v>0.25</v>
      </c>
      <c r="E48" s="74">
        <f t="shared" si="7"/>
        <v>112.10000000000015</v>
      </c>
      <c r="F48" s="74">
        <f>F46-$G$14*$D$29</f>
        <v>112.09999999999997</v>
      </c>
      <c r="G48" s="74"/>
      <c r="H48" s="74"/>
      <c r="K48" s="61"/>
    </row>
    <row r="49" spans="1:8" x14ac:dyDescent="0.25">
      <c r="A49" s="68"/>
      <c r="B49" s="68"/>
      <c r="C49" s="68"/>
      <c r="D49" s="58">
        <v>0.375</v>
      </c>
      <c r="E49" s="73">
        <f t="shared" si="7"/>
        <v>111.87500000000016</v>
      </c>
      <c r="F49" s="73"/>
      <c r="G49" s="73"/>
      <c r="H49" s="73"/>
    </row>
    <row r="50" spans="1:8" x14ac:dyDescent="0.25">
      <c r="A50" s="70"/>
      <c r="B50" s="70">
        <v>0.25</v>
      </c>
      <c r="C50" s="70">
        <v>0.75</v>
      </c>
      <c r="D50" s="51">
        <v>0.5</v>
      </c>
      <c r="E50" s="75">
        <f t="shared" si="7"/>
        <v>111.65000000000016</v>
      </c>
      <c r="F50" s="75">
        <f>F48-$G$14*$D$29</f>
        <v>111.64999999999996</v>
      </c>
      <c r="G50" s="75">
        <f>G46-$H$14*$D$29</f>
        <v>111.64999999999998</v>
      </c>
      <c r="H50" s="75"/>
    </row>
    <row r="51" spans="1:8" x14ac:dyDescent="0.25">
      <c r="A51" s="68"/>
      <c r="B51" s="68"/>
      <c r="C51" s="68"/>
      <c r="D51" s="64">
        <v>0.625</v>
      </c>
      <c r="E51" s="73">
        <f t="shared" si="7"/>
        <v>111.42500000000017</v>
      </c>
      <c r="F51" s="73"/>
      <c r="G51" s="73"/>
      <c r="H51" s="73"/>
    </row>
    <row r="52" spans="1:8" x14ac:dyDescent="0.25">
      <c r="A52" s="69"/>
      <c r="B52" s="69"/>
      <c r="C52" s="69">
        <v>0.875</v>
      </c>
      <c r="D52" s="60">
        <v>0.75</v>
      </c>
      <c r="E52" s="74">
        <f t="shared" si="7"/>
        <v>111.20000000000017</v>
      </c>
      <c r="F52" s="74">
        <f>F50-$G$14*$D$29</f>
        <v>111.19999999999996</v>
      </c>
      <c r="G52" s="74"/>
      <c r="H52" s="74"/>
    </row>
    <row r="53" spans="1:8" x14ac:dyDescent="0.25">
      <c r="A53" s="68"/>
      <c r="B53" s="68"/>
      <c r="C53" s="68"/>
      <c r="D53" s="64">
        <v>0.875</v>
      </c>
      <c r="E53" s="73">
        <f t="shared" si="7"/>
        <v>110.97500000000018</v>
      </c>
      <c r="F53" s="73"/>
      <c r="G53" s="73"/>
      <c r="H53" s="73"/>
    </row>
    <row r="54" spans="1:8" x14ac:dyDescent="0.25">
      <c r="A54" s="67">
        <v>0.25</v>
      </c>
      <c r="B54" s="67">
        <v>0.5</v>
      </c>
      <c r="C54" s="67">
        <v>1</v>
      </c>
      <c r="D54" s="59">
        <v>1</v>
      </c>
      <c r="E54" s="72">
        <f t="shared" si="7"/>
        <v>110.75000000000018</v>
      </c>
      <c r="F54" s="72">
        <f>F52-$G$14*$D$29</f>
        <v>110.74999999999996</v>
      </c>
      <c r="G54" s="72">
        <f>G50-$H$14*$D$29</f>
        <v>110.74999999999997</v>
      </c>
      <c r="H54" s="72">
        <f>H46-$I$14*$D$29</f>
        <v>110.75000000000001</v>
      </c>
    </row>
  </sheetData>
  <mergeCells count="20">
    <mergeCell ref="B19:C19"/>
    <mergeCell ref="D19:E19"/>
    <mergeCell ref="B20:C20"/>
    <mergeCell ref="D20:E20"/>
    <mergeCell ref="A15:A16"/>
    <mergeCell ref="A17:A18"/>
    <mergeCell ref="B18:C18"/>
    <mergeCell ref="B17:C17"/>
    <mergeCell ref="D17:E17"/>
    <mergeCell ref="D18:E18"/>
    <mergeCell ref="A1:D1"/>
    <mergeCell ref="F1:O1"/>
    <mergeCell ref="A11:E11"/>
    <mergeCell ref="B14:C14"/>
    <mergeCell ref="D14:E14"/>
    <mergeCell ref="D13:E13"/>
    <mergeCell ref="B13:C13"/>
    <mergeCell ref="B12:E12"/>
    <mergeCell ref="A12:A14"/>
    <mergeCell ref="F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2017-02-02T11:19:22Z</dcterms:modified>
</cp:coreProperties>
</file>