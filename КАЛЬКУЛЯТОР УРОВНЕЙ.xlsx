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8940" windowHeight="6600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N15" i="1"/>
  <c r="N14"/>
  <c r="N13"/>
  <c r="N12"/>
  <c r="N11"/>
  <c r="N10"/>
  <c r="N9"/>
  <c r="N8"/>
  <c r="N7"/>
  <c r="N6"/>
  <c r="N5"/>
  <c r="K15"/>
  <c r="K14"/>
  <c r="K13"/>
  <c r="K12"/>
  <c r="K11"/>
  <c r="K10"/>
  <c r="K9"/>
  <c r="K8"/>
  <c r="K7"/>
  <c r="K6"/>
  <c r="K5"/>
  <c r="F18"/>
  <c r="F17"/>
  <c r="F16"/>
  <c r="F15"/>
  <c r="F14"/>
  <c r="F13"/>
  <c r="F12"/>
  <c r="C18"/>
  <c r="C17"/>
  <c r="C16"/>
  <c r="C15"/>
  <c r="C14"/>
  <c r="C13"/>
  <c r="C12"/>
  <c r="C11"/>
  <c r="F11"/>
  <c r="F10"/>
  <c r="F8"/>
  <c r="F9"/>
  <c r="F7"/>
  <c r="F5"/>
  <c r="F6"/>
  <c r="C10"/>
  <c r="C9"/>
  <c r="C8"/>
  <c r="C7"/>
  <c r="C6"/>
  <c r="C5"/>
</calcChain>
</file>

<file path=xl/sharedStrings.xml><?xml version="1.0" encoding="utf-8"?>
<sst xmlns="http://schemas.openxmlformats.org/spreadsheetml/2006/main" count="17" uniqueCount="12">
  <si>
    <t>ВВОД ЦЕНЫ</t>
  </si>
  <si>
    <t>УРОВНИ ПЛЮС</t>
  </si>
  <si>
    <t>УРОВНИ МИНУС</t>
  </si>
  <si>
    <t>Для Н1 и ниже, цена вводится без запятой.</t>
  </si>
  <si>
    <t>КАЛЬКУЛЯТОР ДЛЯ Н1</t>
  </si>
  <si>
    <t>КАЛЬКУЛЯТОР РАСЧЕТА УРОВНЕЙ /по Ганну/</t>
  </si>
  <si>
    <t>Для рассчета уровней недели запятая ставится после первых четырех цифр</t>
  </si>
  <si>
    <t>Для рассчета уровней месяца, вводите только первые четыре цифры котировки.</t>
  </si>
  <si>
    <t>Для рассчета уровней года запятая в котировке ставится после первых трех цифр.</t>
  </si>
  <si>
    <t>ДЛЯ ВСЕХ УРОВНЕЙ ВВОДИТСЯ ЦЕНА ОТКРЫТИЯ (OPEN)</t>
  </si>
  <si>
    <t>Калькулятор рассчета уровней от максимума и минимума.                                                           Для рассчета вводите цену максимума или минимума тренда и соответственно получаете уровни отката цены. Уровни отличаются от ФИБО.</t>
  </si>
  <si>
    <t>Разработчики А. Ждан, С. Стариков. Все права защищены. 2014 г.</t>
  </si>
</sst>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/>
    </xf>
    <xf numFmtId="0" fontId="0" fillId="4" borderId="1" xfId="0" applyFill="1" applyBorder="1" applyAlignment="1">
      <alignment horizontal="center"/>
    </xf>
    <xf numFmtId="0" fontId="0" fillId="3" borderId="4" xfId="0" applyFill="1" applyBorder="1"/>
    <xf numFmtId="0" fontId="0" fillId="7" borderId="1" xfId="0" applyFill="1" applyBorder="1" applyAlignment="1">
      <alignment horizontal="center"/>
    </xf>
    <xf numFmtId="0" fontId="0" fillId="3" borderId="4" xfId="0" applyFill="1" applyBorder="1" applyProtection="1"/>
    <xf numFmtId="0" fontId="0" fillId="3" borderId="1" xfId="0" applyFill="1" applyBorder="1"/>
    <xf numFmtId="0" fontId="0" fillId="0" borderId="0" xfId="0" applyBorder="1"/>
    <xf numFmtId="0" fontId="0" fillId="0" borderId="0" xfId="0" applyFill="1" applyBorder="1" applyAlignment="1">
      <alignment horizontal="left"/>
    </xf>
    <xf numFmtId="0" fontId="0" fillId="7" borderId="5" xfId="0" applyFill="1" applyBorder="1" applyProtection="1"/>
    <xf numFmtId="2" fontId="0" fillId="4" borderId="1" xfId="0" applyNumberFormat="1" applyFill="1" applyBorder="1" applyAlignment="1" applyProtection="1">
      <alignment horizontal="right"/>
      <protection hidden="1"/>
    </xf>
    <xf numFmtId="2" fontId="0" fillId="7" borderId="1" xfId="0" applyNumberFormat="1" applyFill="1" applyBorder="1" applyAlignment="1" applyProtection="1">
      <alignment horizontal="right"/>
      <protection hidden="1"/>
    </xf>
    <xf numFmtId="164" fontId="0" fillId="4" borderId="1" xfId="0" applyNumberFormat="1" applyFill="1" applyBorder="1" applyAlignment="1" applyProtection="1">
      <alignment horizontal="right"/>
      <protection hidden="1"/>
    </xf>
    <xf numFmtId="164" fontId="0" fillId="7" borderId="1" xfId="0" applyNumberFormat="1" applyFill="1" applyBorder="1" applyAlignment="1" applyProtection="1">
      <alignment horizontal="right"/>
      <protection hidden="1"/>
    </xf>
    <xf numFmtId="0" fontId="3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5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left"/>
    </xf>
    <xf numFmtId="0" fontId="0" fillId="5" borderId="0" xfId="0" applyFill="1"/>
    <xf numFmtId="0" fontId="1" fillId="6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ntry="1"/>
  <dimension ref="A1:O26"/>
  <sheetViews>
    <sheetView tabSelected="1" topLeftCell="A3" workbookViewId="0">
      <selection activeCell="K7" sqref="K7"/>
    </sheetView>
  </sheetViews>
  <sheetFormatPr defaultRowHeight="15"/>
  <cols>
    <col min="1" max="1" width="18.140625" customWidth="1"/>
    <col min="2" max="2" width="10.7109375" customWidth="1"/>
    <col min="3" max="3" width="10.42578125" customWidth="1"/>
    <col min="4" max="4" width="15.5703125" customWidth="1"/>
    <col min="5" max="5" width="9.140625" customWidth="1"/>
    <col min="6" max="6" width="11.28515625" bestFit="1" customWidth="1"/>
    <col min="9" max="9" width="18.140625" customWidth="1"/>
    <col min="10" max="10" width="10.7109375" customWidth="1"/>
    <col min="11" max="11" width="10.42578125" customWidth="1"/>
    <col min="12" max="12" width="15.5703125" customWidth="1"/>
    <col min="13" max="13" width="9.140625" customWidth="1"/>
    <col min="14" max="14" width="11.28515625" bestFit="1" customWidth="1"/>
  </cols>
  <sheetData>
    <row r="1" spans="1:15" ht="15" customHeight="1">
      <c r="A1" s="27" t="s">
        <v>5</v>
      </c>
      <c r="B1" s="27"/>
      <c r="C1" s="27"/>
      <c r="D1" s="27"/>
      <c r="E1" s="27"/>
      <c r="F1" s="27"/>
      <c r="G1" s="3"/>
      <c r="H1" s="3"/>
      <c r="I1" s="23" t="s">
        <v>4</v>
      </c>
      <c r="J1" s="23"/>
      <c r="K1" s="23"/>
      <c r="L1" s="23"/>
      <c r="M1" s="23"/>
      <c r="N1" s="23"/>
    </row>
    <row r="2" spans="1:15" ht="15" customHeight="1">
      <c r="A2" s="28"/>
      <c r="B2" s="28"/>
      <c r="C2" s="28"/>
      <c r="D2" s="28"/>
      <c r="E2" s="28"/>
      <c r="F2" s="28"/>
      <c r="G2" s="3"/>
      <c r="H2" s="3"/>
      <c r="I2" s="23"/>
      <c r="J2" s="23"/>
      <c r="K2" s="23"/>
      <c r="L2" s="23"/>
      <c r="M2" s="23"/>
      <c r="N2" s="23"/>
    </row>
    <row r="3" spans="1:15">
      <c r="A3" s="29" t="s">
        <v>0</v>
      </c>
      <c r="B3" s="29" t="s">
        <v>1</v>
      </c>
      <c r="C3" s="29"/>
      <c r="D3" s="30" t="s">
        <v>0</v>
      </c>
      <c r="E3" s="30" t="s">
        <v>2</v>
      </c>
      <c r="F3" s="30"/>
      <c r="I3" s="21" t="s">
        <v>0</v>
      </c>
      <c r="J3" s="21" t="s">
        <v>1</v>
      </c>
      <c r="K3" s="21"/>
      <c r="L3" s="22" t="s">
        <v>0</v>
      </c>
      <c r="M3" s="24" t="s">
        <v>2</v>
      </c>
      <c r="N3" s="24"/>
    </row>
    <row r="4" spans="1:15">
      <c r="A4" s="29"/>
      <c r="B4" s="29"/>
      <c r="C4" s="29"/>
      <c r="D4" s="30"/>
      <c r="E4" s="30"/>
      <c r="F4" s="30"/>
      <c r="I4" s="21"/>
      <c r="J4" s="21"/>
      <c r="K4" s="21"/>
      <c r="L4" s="22"/>
      <c r="M4" s="24"/>
      <c r="N4" s="24"/>
    </row>
    <row r="5" spans="1:15">
      <c r="A5" s="6">
        <v>1563.6</v>
      </c>
      <c r="B5" s="5">
        <v>22.5</v>
      </c>
      <c r="C5" s="13">
        <f>(A5^0.5+0.125)*(A5^0.5+0.125)</f>
        <v>1573.5012205814505</v>
      </c>
      <c r="D5" s="8">
        <v>1563.6</v>
      </c>
      <c r="E5" s="2">
        <v>-22.5</v>
      </c>
      <c r="F5" s="14">
        <f>(D5^0.5-0.125)*(D5^0.5-0.125)</f>
        <v>1553.7300294185488</v>
      </c>
      <c r="I5" s="9">
        <v>1.3361000000000001</v>
      </c>
      <c r="J5" s="5">
        <v>45</v>
      </c>
      <c r="K5" s="15">
        <f>(I5+0.0058)</f>
        <v>1.3419000000000001</v>
      </c>
      <c r="L5" s="12">
        <v>1.3361000000000001</v>
      </c>
      <c r="M5" s="1">
        <v>-45</v>
      </c>
      <c r="N5" s="16">
        <f>(L5-0.0058)</f>
        <v>1.3303</v>
      </c>
    </row>
    <row r="6" spans="1:15">
      <c r="B6" s="5">
        <v>45</v>
      </c>
      <c r="C6" s="13">
        <f>(A5^0.5+0.25)*(A5^0.5+0.25)</f>
        <v>1583.4336911629014</v>
      </c>
      <c r="E6" s="1">
        <v>-45</v>
      </c>
      <c r="F6" s="14">
        <f>(D5^0.5-0.25)*(D5^0.5-0.25)</f>
        <v>1543.891308837098</v>
      </c>
      <c r="H6" s="10"/>
      <c r="I6" s="10"/>
      <c r="J6" s="5">
        <v>60</v>
      </c>
      <c r="K6" s="15">
        <f>(I5+0.0078)</f>
        <v>1.3439000000000001</v>
      </c>
      <c r="L6" s="10"/>
      <c r="M6" s="1">
        <v>-60</v>
      </c>
      <c r="N6" s="16">
        <f>(L5-0.0078)</f>
        <v>1.3283</v>
      </c>
    </row>
    <row r="7" spans="1:15">
      <c r="B7" s="5">
        <v>60</v>
      </c>
      <c r="C7" s="13">
        <f>(A5^0.5+0.333)*(A5^0.5+0.333)</f>
        <v>1590.0461156289846</v>
      </c>
      <c r="E7" s="1">
        <v>-60</v>
      </c>
      <c r="F7" s="14">
        <f>(D5^0.5-0.333)*(D5^0.5-0.333)</f>
        <v>1537.3756623710149</v>
      </c>
      <c r="H7" s="10"/>
      <c r="I7" s="10"/>
      <c r="J7" s="5">
        <v>90</v>
      </c>
      <c r="K7" s="15">
        <f>(I5+0.0117)</f>
        <v>1.3478000000000001</v>
      </c>
      <c r="L7" s="10"/>
      <c r="M7" s="1">
        <v>-90</v>
      </c>
      <c r="N7" s="16">
        <f>(L5-0.0117)</f>
        <v>1.3244</v>
      </c>
    </row>
    <row r="8" spans="1:15">
      <c r="B8" s="5">
        <v>90</v>
      </c>
      <c r="C8" s="13">
        <f>(A5^0.5+0.5)*(A5^0.5+0.5)</f>
        <v>1603.3923823258031</v>
      </c>
      <c r="E8" s="1">
        <v>-90</v>
      </c>
      <c r="F8" s="14">
        <f>(D5^0.5-0.5)*(D5^0.5-0.5)</f>
        <v>1524.3076176741965</v>
      </c>
      <c r="H8" s="10"/>
      <c r="I8" s="10"/>
      <c r="J8" s="5">
        <v>120</v>
      </c>
      <c r="K8" s="15">
        <f>(I5+0.0156)</f>
        <v>1.3517000000000001</v>
      </c>
      <c r="L8" s="10"/>
      <c r="M8" s="1">
        <v>-120</v>
      </c>
      <c r="N8" s="16">
        <f>(L5-0.0156)</f>
        <v>1.3205</v>
      </c>
    </row>
    <row r="9" spans="1:15">
      <c r="B9" s="5">
        <v>120</v>
      </c>
      <c r="C9" s="13">
        <f>(A5^0.5+0.666)*(A5^0.5+0.666)</f>
        <v>1616.7140092579693</v>
      </c>
      <c r="E9" s="1">
        <v>-120</v>
      </c>
      <c r="F9" s="14">
        <f>(D5^0.5-0.666)*(D5^0.5-0.666)</f>
        <v>1511.3731027420299</v>
      </c>
      <c r="H9" s="10"/>
      <c r="I9" s="10"/>
      <c r="J9" s="5">
        <v>135</v>
      </c>
      <c r="K9" s="15">
        <f>(I5+0.0175)</f>
        <v>1.3536000000000001</v>
      </c>
      <c r="L9" s="10"/>
      <c r="M9" s="1">
        <v>-135</v>
      </c>
      <c r="N9" s="16">
        <f>(L5-0.0175)</f>
        <v>1.3186</v>
      </c>
    </row>
    <row r="10" spans="1:15">
      <c r="B10" s="5">
        <v>135</v>
      </c>
      <c r="C10" s="13">
        <f>(A5^0.5+0.75)*(A5^0.5+0.75)</f>
        <v>1623.4760734887047</v>
      </c>
      <c r="E10" s="1">
        <v>-135</v>
      </c>
      <c r="F10" s="14">
        <f>(D5^0.5-0.75)*(D5^0.5-0.75)</f>
        <v>1504.8489265112948</v>
      </c>
      <c r="H10" s="10"/>
      <c r="I10" s="10"/>
      <c r="J10" s="5">
        <v>144</v>
      </c>
      <c r="K10" s="15">
        <f>(I5+0.0187)</f>
        <v>1.3548</v>
      </c>
      <c r="L10" s="10"/>
      <c r="M10" s="1">
        <v>-144</v>
      </c>
      <c r="N10" s="16">
        <f>(L5-0.0187)</f>
        <v>1.3174000000000001</v>
      </c>
    </row>
    <row r="11" spans="1:15">
      <c r="B11" s="5">
        <v>144</v>
      </c>
      <c r="C11" s="13">
        <f>(A5^0.5+0.8)*(A5^0.5+0.8)</f>
        <v>1627.5078117212847</v>
      </c>
      <c r="E11" s="1">
        <v>-144</v>
      </c>
      <c r="F11" s="14">
        <f>(D5^0.5-0.8)*(D5^0.5-0.8)</f>
        <v>1500.9721882787146</v>
      </c>
      <c r="H11" s="10"/>
      <c r="I11" s="10"/>
      <c r="J11" s="5">
        <v>180</v>
      </c>
      <c r="K11" s="15">
        <f>(I5+0.0234)</f>
        <v>1.3595000000000002</v>
      </c>
      <c r="L11" s="10"/>
      <c r="M11" s="1">
        <v>-180</v>
      </c>
      <c r="N11" s="16">
        <f>(L5-0.0234)</f>
        <v>1.3127</v>
      </c>
    </row>
    <row r="12" spans="1:15">
      <c r="B12" s="5">
        <v>180</v>
      </c>
      <c r="C12" s="13">
        <f>(A5^0.5+1)*(A5^0.5+1)</f>
        <v>1643.6847646516062</v>
      </c>
      <c r="E12" s="1">
        <v>-180</v>
      </c>
      <c r="F12" s="14">
        <f>(D5^0.5-1)*(D5^0.5-1)</f>
        <v>1485.5152353483932</v>
      </c>
      <c r="H12" s="10"/>
      <c r="I12" s="10"/>
      <c r="J12" s="5">
        <v>225</v>
      </c>
      <c r="K12" s="15">
        <f>(I5+0.0292)</f>
        <v>1.3653</v>
      </c>
      <c r="L12" s="10"/>
      <c r="M12" s="7">
        <v>-225</v>
      </c>
      <c r="N12" s="16">
        <f>(L5-0.0292)</f>
        <v>1.3069000000000002</v>
      </c>
    </row>
    <row r="13" spans="1:15">
      <c r="A13" s="4"/>
      <c r="B13" s="5">
        <v>225</v>
      </c>
      <c r="C13" s="13">
        <f>(A5^0.5+1.25)*(A5^0.5+1.25)</f>
        <v>1664.0184558145079</v>
      </c>
      <c r="D13" s="4"/>
      <c r="E13" s="7">
        <v>-225</v>
      </c>
      <c r="F13" s="14">
        <f>(D5^0.5-1.25)*(D5^0.5-1.25)</f>
        <v>1466.3065441854915</v>
      </c>
      <c r="H13" s="10"/>
      <c r="I13" s="11"/>
      <c r="J13" s="5">
        <v>270</v>
      </c>
      <c r="K13" s="15">
        <f>(I5+0.0351)</f>
        <v>1.3712</v>
      </c>
      <c r="L13" s="11"/>
      <c r="M13" s="7">
        <v>-270</v>
      </c>
      <c r="N13" s="16">
        <f>(L5-0.0351)</f>
        <v>1.3010000000000002</v>
      </c>
    </row>
    <row r="14" spans="1:15">
      <c r="A14" s="4"/>
      <c r="B14" s="5">
        <v>240</v>
      </c>
      <c r="C14" s="13">
        <f>(A5^0.5+1.333)*(A5^0.5+1.333)</f>
        <v>1670.796880280591</v>
      </c>
      <c r="D14" s="4"/>
      <c r="E14" s="7">
        <v>-240</v>
      </c>
      <c r="F14" s="14">
        <f>(D5^0.5-1.333)*(D5^0.5-1.333)</f>
        <v>1459.9568977194083</v>
      </c>
      <c r="H14" s="10"/>
      <c r="I14" s="11"/>
      <c r="J14" s="5">
        <v>315</v>
      </c>
      <c r="K14" s="15">
        <f>(I5+0.041)</f>
        <v>1.3771</v>
      </c>
      <c r="L14" s="11"/>
      <c r="M14" s="7">
        <v>-315</v>
      </c>
      <c r="N14" s="16">
        <f>(L5-0.041)</f>
        <v>1.2951000000000001</v>
      </c>
    </row>
    <row r="15" spans="1:15">
      <c r="A15" s="4"/>
      <c r="B15" s="5">
        <v>270</v>
      </c>
      <c r="C15" s="13">
        <f>(A5^0.5+1.5)*(A5^0.5+1.5)</f>
        <v>1684.4771469774096</v>
      </c>
      <c r="D15" s="4"/>
      <c r="E15" s="7">
        <v>-270</v>
      </c>
      <c r="F15" s="14">
        <f>(D5^0.5-1.5)*(D5^0.5-1.5)</f>
        <v>1447.2228530225898</v>
      </c>
      <c r="H15" s="10"/>
      <c r="I15" s="11"/>
      <c r="J15" s="5">
        <v>360</v>
      </c>
      <c r="K15" s="15">
        <f>(I5+0.0468)</f>
        <v>1.3829</v>
      </c>
      <c r="L15" s="11"/>
      <c r="M15" s="7">
        <v>-360</v>
      </c>
      <c r="N15" s="16">
        <f>(L5-0.0468)</f>
        <v>1.2893000000000001</v>
      </c>
    </row>
    <row r="16" spans="1:15">
      <c r="B16" s="5">
        <v>300</v>
      </c>
      <c r="C16" s="13">
        <f>(A5^0.5+1.666)*(A5^0.5+1.666)</f>
        <v>1698.130773909576</v>
      </c>
      <c r="E16" s="7">
        <v>-300</v>
      </c>
      <c r="F16" s="14">
        <f>(D5^0.5-1.666)*(D5^0.5-1.666)</f>
        <v>1434.6203380904235</v>
      </c>
      <c r="H16" s="10"/>
      <c r="I16" s="19" t="s">
        <v>10</v>
      </c>
      <c r="J16" s="20"/>
      <c r="K16" s="20"/>
      <c r="L16" s="20"/>
      <c r="M16" s="20"/>
      <c r="N16" s="20"/>
      <c r="O16" s="20"/>
    </row>
    <row r="17" spans="1:15">
      <c r="B17" s="5">
        <v>315</v>
      </c>
      <c r="C17" s="13">
        <f>(A5^0.5+1.75)*(A5^0.5+1.75)</f>
        <v>1705.0608381403113</v>
      </c>
      <c r="E17" s="7">
        <v>-315</v>
      </c>
      <c r="F17" s="14">
        <f>(D5^0.5-1.75)*(D5^0.5-1.75)</f>
        <v>1428.2641618596883</v>
      </c>
      <c r="H17" s="10"/>
      <c r="I17" s="20"/>
      <c r="J17" s="20"/>
      <c r="K17" s="20"/>
      <c r="L17" s="20"/>
      <c r="M17" s="20"/>
      <c r="N17" s="20"/>
      <c r="O17" s="20"/>
    </row>
    <row r="18" spans="1:15">
      <c r="B18" s="5">
        <v>360</v>
      </c>
      <c r="C18" s="13">
        <f>(A5^0.5+2)*(A5^0.5+2)</f>
        <v>1725.7695293032127</v>
      </c>
      <c r="E18" s="7">
        <v>-360</v>
      </c>
      <c r="F18" s="14">
        <f>(D5^0.5-2)*(D5^0.5-2)</f>
        <v>1409.4304706967866</v>
      </c>
      <c r="H18" s="10"/>
      <c r="I18" s="20"/>
      <c r="J18" s="20"/>
      <c r="K18" s="20"/>
      <c r="L18" s="20"/>
      <c r="M18" s="20"/>
      <c r="N18" s="20"/>
      <c r="O18" s="20"/>
    </row>
    <row r="19" spans="1:15">
      <c r="A19" s="25" t="s">
        <v>3</v>
      </c>
      <c r="B19" s="25"/>
      <c r="C19" s="25"/>
      <c r="D19" s="25"/>
      <c r="E19" s="25"/>
      <c r="F19" s="25"/>
      <c r="I19" s="20"/>
      <c r="J19" s="20"/>
      <c r="K19" s="20"/>
      <c r="L19" s="20"/>
      <c r="M19" s="20"/>
      <c r="N19" s="20"/>
      <c r="O19" s="20"/>
    </row>
    <row r="20" spans="1:15">
      <c r="A20" s="26" t="s">
        <v>6</v>
      </c>
      <c r="B20" s="26"/>
      <c r="C20" s="26"/>
      <c r="D20" s="26"/>
      <c r="E20" s="26"/>
      <c r="F20" s="26"/>
      <c r="I20" s="20"/>
      <c r="J20" s="20"/>
      <c r="K20" s="20"/>
      <c r="L20" s="20"/>
      <c r="M20" s="20"/>
      <c r="N20" s="20"/>
      <c r="O20" s="20"/>
    </row>
    <row r="21" spans="1:15">
      <c r="A21" s="25" t="s">
        <v>7</v>
      </c>
      <c r="B21" s="25"/>
      <c r="C21" s="25"/>
      <c r="D21" s="25"/>
      <c r="E21" s="25"/>
      <c r="F21" s="25"/>
      <c r="I21" s="20"/>
      <c r="J21" s="20"/>
      <c r="K21" s="20"/>
      <c r="L21" s="20"/>
      <c r="M21" s="20"/>
      <c r="N21" s="20"/>
      <c r="O21" s="20"/>
    </row>
    <row r="22" spans="1:15">
      <c r="A22" s="25" t="s">
        <v>8</v>
      </c>
      <c r="B22" s="25"/>
      <c r="C22" s="25"/>
      <c r="D22" s="25"/>
      <c r="E22" s="25"/>
      <c r="F22" s="25"/>
      <c r="I22" s="20"/>
      <c r="J22" s="20"/>
      <c r="K22" s="20"/>
      <c r="L22" s="20"/>
      <c r="M22" s="20"/>
      <c r="N22" s="20"/>
      <c r="O22" s="20"/>
    </row>
    <row r="23" spans="1:15">
      <c r="A23" s="18" t="s">
        <v>9</v>
      </c>
      <c r="B23" s="18"/>
      <c r="C23" s="18"/>
      <c r="D23" s="18"/>
      <c r="E23" s="18"/>
      <c r="F23" s="18"/>
      <c r="I23" s="20"/>
      <c r="J23" s="20"/>
      <c r="K23" s="20"/>
      <c r="L23" s="20"/>
      <c r="M23" s="20"/>
      <c r="N23" s="20"/>
      <c r="O23" s="20"/>
    </row>
    <row r="26" spans="1:15">
      <c r="D26" s="17" t="s">
        <v>11</v>
      </c>
      <c r="E26" s="17"/>
      <c r="F26" s="17"/>
      <c r="G26" s="17"/>
      <c r="H26" s="17"/>
      <c r="I26" s="17"/>
      <c r="J26" s="17"/>
      <c r="K26" s="17"/>
    </row>
  </sheetData>
  <sheetProtection password="EB25" sheet="1" objects="1" scenarios="1"/>
  <protectedRanges>
    <protectedRange sqref="L5" name="Диапазон4"/>
    <protectedRange sqref="I5" name="Диапазон3"/>
    <protectedRange sqref="A5 I5" name="Диапазон1"/>
    <protectedRange sqref="D5 L5" name="Диапазон2"/>
  </protectedRanges>
  <mergeCells count="17">
    <mergeCell ref="I1:N2"/>
    <mergeCell ref="J3:K4"/>
    <mergeCell ref="M3:N4"/>
    <mergeCell ref="A22:F22"/>
    <mergeCell ref="A20:F20"/>
    <mergeCell ref="A19:F19"/>
    <mergeCell ref="A21:F21"/>
    <mergeCell ref="A1:F2"/>
    <mergeCell ref="A3:A4"/>
    <mergeCell ref="B3:C4"/>
    <mergeCell ref="D3:D4"/>
    <mergeCell ref="E3:F4"/>
    <mergeCell ref="D26:K26"/>
    <mergeCell ref="A23:F23"/>
    <mergeCell ref="I16:O23"/>
    <mergeCell ref="I3:I4"/>
    <mergeCell ref="L3:L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Серж</dc:creator>
  <cp:lastModifiedBy>Сергей</cp:lastModifiedBy>
  <dcterms:created xsi:type="dcterms:W3CDTF">2011-05-12T14:30:02Z</dcterms:created>
  <dcterms:modified xsi:type="dcterms:W3CDTF">2014-12-12T14:18:10Z</dcterms:modified>
</cp:coreProperties>
</file>